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<sst xmlns="http://schemas.openxmlformats.org/spreadsheetml/2006/main" count="74" uniqueCount="45">
  <si>
    <t>Базовая стоимость SEO</t>
  </si>
  <si>
    <t>Регион</t>
  </si>
  <si>
    <t>Коэф.</t>
  </si>
  <si>
    <t>Для кого</t>
  </si>
  <si>
    <t>Количество страниц</t>
  </si>
  <si>
    <t>Наличие ошибок</t>
  </si>
  <si>
    <t>Предыдущий опыт</t>
  </si>
  <si>
    <t>Необходимость ссылочного продвижения</t>
  </si>
  <si>
    <t>Конкуренция</t>
  </si>
  <si>
    <t>Стоимость часа</t>
  </si>
  <si>
    <t>Минск</t>
  </si>
  <si>
    <t>b2b</t>
  </si>
  <si>
    <t>до 10</t>
  </si>
  <si>
    <t>Единичные</t>
  </si>
  <si>
    <t>Не было</t>
  </si>
  <si>
    <t>Базово</t>
  </si>
  <si>
    <t>Минимальная</t>
  </si>
  <si>
    <t>Коммерческое SEO</t>
  </si>
  <si>
    <t>Область РБ</t>
  </si>
  <si>
    <t>b2c</t>
  </si>
  <si>
    <t>до 50</t>
  </si>
  <si>
    <t>Множественные</t>
  </si>
  <si>
    <t>Разово</t>
  </si>
  <si>
    <t>Активно</t>
  </si>
  <si>
    <t>Средняя</t>
  </si>
  <si>
    <t>Информационное SEO</t>
  </si>
  <si>
    <t>Вся РБ</t>
  </si>
  <si>
    <t>все</t>
  </si>
  <si>
    <t>до 1000</t>
  </si>
  <si>
    <t>Сайт продвигался</t>
  </si>
  <si>
    <t>Приоритетно</t>
  </si>
  <si>
    <t>Высокая</t>
  </si>
  <si>
    <t>GEO</t>
  </si>
  <si>
    <t>Россия</t>
  </si>
  <si>
    <t>до 10000</t>
  </si>
  <si>
    <t>Очень высокая</t>
  </si>
  <si>
    <t>SERM</t>
  </si>
  <si>
    <t>Другой регион</t>
  </si>
  <si>
    <t>больше 10000</t>
  </si>
  <si>
    <t>Техническая поддержка</t>
  </si>
  <si>
    <t>Оценка проекта</t>
  </si>
  <si>
    <t>Цена</t>
  </si>
  <si>
    <t>Часов</t>
  </si>
  <si>
    <t>да</t>
  </si>
  <si>
    <t>итого: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</si>
</sst>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33333"/>
      <name val="Arial"/>
    </font>
    <font>
      <sz val="11.0"/>
      <color rgb="FF333333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1" numFmtId="0" xfId="0" applyFont="1"/>
    <xf borderId="1" fillId="2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8.25"/>
    <col customWidth="1" min="4" max="4" width="20.25"/>
    <col customWidth="1" min="22" max="22" width="13.63"/>
  </cols>
  <sheetData>
    <row r="1">
      <c r="A1" s="1"/>
      <c r="B1" s="1"/>
      <c r="C1" s="1"/>
      <c r="D1" s="2" t="s">
        <v>0</v>
      </c>
      <c r="E1" s="2">
        <v>750.0</v>
      </c>
      <c r="F1" s="1"/>
      <c r="G1" s="2" t="s">
        <v>1</v>
      </c>
      <c r="H1" s="2" t="s">
        <v>2</v>
      </c>
      <c r="I1" s="1"/>
      <c r="J1" s="2" t="s">
        <v>3</v>
      </c>
      <c r="K1" s="2" t="s">
        <v>2</v>
      </c>
      <c r="L1" s="1"/>
      <c r="M1" s="2" t="s">
        <v>4</v>
      </c>
      <c r="N1" s="2" t="s">
        <v>2</v>
      </c>
      <c r="O1" s="1"/>
      <c r="P1" s="2" t="s">
        <v>5</v>
      </c>
      <c r="Q1" s="2" t="s">
        <v>2</v>
      </c>
      <c r="R1" s="1"/>
      <c r="S1" s="2" t="s">
        <v>6</v>
      </c>
      <c r="T1" s="2" t="s">
        <v>2</v>
      </c>
      <c r="U1" s="1"/>
      <c r="V1" s="2" t="s">
        <v>7</v>
      </c>
      <c r="W1" s="2" t="s">
        <v>2</v>
      </c>
      <c r="X1" s="1"/>
      <c r="Y1" s="2" t="s">
        <v>8</v>
      </c>
      <c r="Z1" s="2" t="s">
        <v>2</v>
      </c>
    </row>
    <row r="2">
      <c r="D2" s="3" t="s">
        <v>9</v>
      </c>
      <c r="E2" s="3">
        <v>75.0</v>
      </c>
      <c r="G2" s="3" t="s">
        <v>10</v>
      </c>
      <c r="H2" s="3">
        <v>1.0</v>
      </c>
      <c r="J2" s="3" t="s">
        <v>11</v>
      </c>
      <c r="K2" s="3">
        <v>1.0</v>
      </c>
      <c r="M2" s="3" t="s">
        <v>12</v>
      </c>
      <c r="N2" s="3">
        <v>0.9</v>
      </c>
      <c r="P2" s="3" t="s">
        <v>13</v>
      </c>
      <c r="Q2" s="3">
        <v>1.0</v>
      </c>
      <c r="S2" s="3" t="s">
        <v>14</v>
      </c>
      <c r="T2" s="3">
        <v>1.2</v>
      </c>
      <c r="V2" s="3" t="s">
        <v>15</v>
      </c>
      <c r="W2" s="3">
        <v>1.0</v>
      </c>
      <c r="Y2" s="3" t="s">
        <v>16</v>
      </c>
      <c r="Z2" s="3">
        <v>1.0</v>
      </c>
    </row>
    <row r="3">
      <c r="D3" s="3" t="s">
        <v>17</v>
      </c>
      <c r="E3" s="3">
        <v>1.4</v>
      </c>
      <c r="G3" s="3" t="s">
        <v>18</v>
      </c>
      <c r="H3" s="3">
        <v>0.9</v>
      </c>
      <c r="J3" s="3" t="s">
        <v>19</v>
      </c>
      <c r="K3" s="3">
        <v>1.0</v>
      </c>
      <c r="M3" s="3" t="s">
        <v>20</v>
      </c>
      <c r="N3" s="3">
        <v>1.0</v>
      </c>
      <c r="P3" s="3" t="s">
        <v>21</v>
      </c>
      <c r="Q3" s="3">
        <v>1.2</v>
      </c>
      <c r="S3" s="3" t="s">
        <v>22</v>
      </c>
      <c r="T3" s="3">
        <v>1.1</v>
      </c>
      <c r="V3" s="3" t="s">
        <v>23</v>
      </c>
      <c r="W3" s="3">
        <v>1.1</v>
      </c>
      <c r="Y3" s="3" t="s">
        <v>24</v>
      </c>
      <c r="Z3" s="3">
        <v>1.1</v>
      </c>
    </row>
    <row r="4">
      <c r="D4" s="4" t="s">
        <v>25</v>
      </c>
      <c r="E4" s="3">
        <v>1.4</v>
      </c>
      <c r="G4" s="3" t="s">
        <v>26</v>
      </c>
      <c r="H4" s="3">
        <v>1.1</v>
      </c>
      <c r="J4" s="3" t="s">
        <v>27</v>
      </c>
      <c r="K4" s="3">
        <v>1.1</v>
      </c>
      <c r="M4" s="3" t="s">
        <v>28</v>
      </c>
      <c r="N4" s="3">
        <v>1.2</v>
      </c>
      <c r="S4" s="3" t="s">
        <v>29</v>
      </c>
      <c r="T4" s="3">
        <v>1.0</v>
      </c>
      <c r="V4" s="3" t="s">
        <v>30</v>
      </c>
      <c r="W4" s="3">
        <v>1.3</v>
      </c>
      <c r="Y4" s="3" t="s">
        <v>31</v>
      </c>
      <c r="Z4" s="3">
        <v>1.2</v>
      </c>
    </row>
    <row r="5">
      <c r="D5" s="4" t="s">
        <v>32</v>
      </c>
      <c r="E5" s="3">
        <v>1.2</v>
      </c>
      <c r="G5" s="3" t="s">
        <v>33</v>
      </c>
      <c r="H5" s="3">
        <v>1.5</v>
      </c>
      <c r="M5" s="3" t="s">
        <v>34</v>
      </c>
      <c r="N5" s="3">
        <v>1.4</v>
      </c>
      <c r="Y5" s="3" t="s">
        <v>35</v>
      </c>
      <c r="Z5" s="3">
        <v>1.4</v>
      </c>
    </row>
    <row r="6">
      <c r="D6" s="5" t="s">
        <v>36</v>
      </c>
      <c r="E6" s="3">
        <v>1.0</v>
      </c>
      <c r="G6" s="3" t="s">
        <v>37</v>
      </c>
      <c r="H6" s="3">
        <v>1.5</v>
      </c>
      <c r="M6" s="3" t="s">
        <v>38</v>
      </c>
      <c r="N6" s="3">
        <v>1.6</v>
      </c>
    </row>
    <row r="7">
      <c r="D7" s="5" t="s">
        <v>39</v>
      </c>
      <c r="E7" s="3">
        <v>0.6</v>
      </c>
    </row>
    <row r="10">
      <c r="A10" s="3" t="s">
        <v>40</v>
      </c>
    </row>
    <row r="11">
      <c r="D11" s="3" t="s">
        <v>41</v>
      </c>
      <c r="E11" s="3" t="s">
        <v>42</v>
      </c>
    </row>
    <row r="12">
      <c r="A12" s="3" t="s">
        <v>17</v>
      </c>
      <c r="B12" s="3" t="s">
        <v>43</v>
      </c>
      <c r="C12" s="6">
        <f t="shared" ref="C12:C16" si="1">IF(B12="да",E3,0)</f>
        <v>1.4</v>
      </c>
      <c r="D12" s="6">
        <f>ROUND($E$1*C12*$C$17*$C$18*$C$19*$C$20*$C$21*$C$22*C23,0)</f>
        <v>1525</v>
      </c>
      <c r="E12" s="6">
        <f t="shared" ref="E12:E16" si="2">ROUND(D12/$E$2,0)</f>
        <v>20</v>
      </c>
    </row>
    <row r="13">
      <c r="A13" s="4" t="s">
        <v>25</v>
      </c>
      <c r="B13" s="3" t="s">
        <v>43</v>
      </c>
      <c r="C13" s="6">
        <f t="shared" si="1"/>
        <v>1.4</v>
      </c>
      <c r="D13" s="6">
        <f>ROUND($E$1*C13*$C$17*$C$18*$C$21*$C$22,0)</f>
        <v>1155</v>
      </c>
      <c r="E13" s="6">
        <f t="shared" si="2"/>
        <v>15</v>
      </c>
    </row>
    <row r="14">
      <c r="A14" s="4" t="s">
        <v>32</v>
      </c>
      <c r="B14" s="3" t="s">
        <v>43</v>
      </c>
      <c r="C14" s="6">
        <f t="shared" si="1"/>
        <v>1.2</v>
      </c>
      <c r="D14" s="6">
        <f>ROUND($E$1*C14*$C$17*$C$18*$C$19*$C$20*$C$21*$C$22*C23,0)</f>
        <v>1307</v>
      </c>
      <c r="E14" s="6">
        <f t="shared" si="2"/>
        <v>17</v>
      </c>
    </row>
    <row r="15">
      <c r="A15" s="5" t="s">
        <v>36</v>
      </c>
      <c r="B15" s="3" t="s">
        <v>43</v>
      </c>
      <c r="C15" s="6">
        <f t="shared" si="1"/>
        <v>1</v>
      </c>
      <c r="D15" s="6">
        <f>ROUND($E$1*C15*$C$17*$C$18*$C$21*$C$22,0)</f>
        <v>825</v>
      </c>
      <c r="E15" s="6">
        <f t="shared" si="2"/>
        <v>11</v>
      </c>
    </row>
    <row r="16">
      <c r="A16" s="7" t="s">
        <v>39</v>
      </c>
      <c r="B16" s="8" t="s">
        <v>43</v>
      </c>
      <c r="C16" s="9">
        <f t="shared" si="1"/>
        <v>0.6</v>
      </c>
      <c r="D16" s="9">
        <f>ROUND($E$1*C16*$C$19*$C$20*$C$21,0)</f>
        <v>540</v>
      </c>
      <c r="E16" s="9">
        <f t="shared" si="2"/>
        <v>7</v>
      </c>
    </row>
    <row r="17">
      <c r="A17" s="3" t="s">
        <v>1</v>
      </c>
      <c r="B17" s="10" t="s">
        <v>26</v>
      </c>
      <c r="C17" s="6">
        <f>VLOOKUP(B17, $G$1:$H$6, 2, FALSE)</f>
        <v>1.1</v>
      </c>
    </row>
    <row r="18">
      <c r="A18" s="3" t="s">
        <v>3</v>
      </c>
      <c r="B18" s="10" t="s">
        <v>11</v>
      </c>
      <c r="C18" s="6">
        <f>VLOOKUP(B18, $J$2:$K$4, 2, FALSE)</f>
        <v>1</v>
      </c>
    </row>
    <row r="19">
      <c r="A19" s="11" t="s">
        <v>4</v>
      </c>
      <c r="B19" s="10" t="s">
        <v>28</v>
      </c>
      <c r="C19" s="6">
        <f>VLOOKUP(B19, $M$2:$N$6, 2, FALSE)</f>
        <v>1.2</v>
      </c>
    </row>
    <row r="20">
      <c r="A20" s="11" t="s">
        <v>5</v>
      </c>
      <c r="B20" s="10" t="s">
        <v>13</v>
      </c>
      <c r="C20" s="6">
        <f>VLOOKUP(B20, $P$2:$Q$3, 2, FALSE)</f>
        <v>1</v>
      </c>
    </row>
    <row r="21">
      <c r="A21" s="11" t="s">
        <v>6</v>
      </c>
      <c r="B21" s="10" t="s">
        <v>29</v>
      </c>
      <c r="C21" s="6">
        <f>VLOOKUP(B21, $S$2:$T$4, 2, FALSE)</f>
        <v>1</v>
      </c>
    </row>
    <row r="22">
      <c r="A22" s="11" t="s">
        <v>7</v>
      </c>
      <c r="B22" s="10" t="s">
        <v>15</v>
      </c>
      <c r="C22" s="6">
        <f>VLOOKUP(B22, $V$2:$W$4, 2, FALSE)</f>
        <v>1</v>
      </c>
    </row>
    <row r="23">
      <c r="A23" s="11" t="s">
        <v>8</v>
      </c>
      <c r="B23" s="10" t="s">
        <v>24</v>
      </c>
      <c r="C23" s="6">
        <f>VLOOKUP(B23, Y2:Z5, 2, FALSE)</f>
        <v>1.1</v>
      </c>
    </row>
    <row r="25">
      <c r="C25" s="3" t="s">
        <v>44</v>
      </c>
      <c r="D25" s="6">
        <f t="shared" ref="D25:E25" si="3">SUM(D12:D16)</f>
        <v>5352</v>
      </c>
      <c r="E25" s="6">
        <f t="shared" si="3"/>
        <v>70</v>
      </c>
    </row>
  </sheetData>
  <dataValidations>
    <dataValidation type="list" allowBlank="1" showErrorMessage="1" sqref="B20">
      <formula1>'Лист1'!$P$2:$P$3</formula1>
    </dataValidation>
    <dataValidation type="list" allowBlank="1" showErrorMessage="1" sqref="B21">
      <formula1>'Лист1'!$S$2:$S$4</formula1>
    </dataValidation>
    <dataValidation type="list" allowBlank="1" showErrorMessage="1" sqref="B18">
      <formula1>'Лист1'!$J$2:$J$4</formula1>
    </dataValidation>
    <dataValidation type="list" allowBlank="1" showErrorMessage="1" sqref="B22">
      <formula1>'Лист1'!$V$2:$V$4</formula1>
    </dataValidation>
    <dataValidation type="list" allowBlank="1" showErrorMessage="1" sqref="B17">
      <formula1>'Лист1'!$G$2:$G$6</formula1>
    </dataValidation>
    <dataValidation type="list" allowBlank="1" showErrorMessage="1" sqref="B19">
      <formula1>'Лист1'!$M$2:$M$6</formula1>
    </dataValidation>
    <dataValidation type="list" allowBlank="1" showErrorMessage="1" sqref="B12:B16">
      <formula1>"да,нет"</formula1>
    </dataValidation>
    <dataValidation type="list" allowBlank="1" showErrorMessage="1" sqref="B23">
      <formula1>'Лист1'!$Y$2:$Y$5</formula1>
    </dataValidation>
  </dataValidations>
  <drawing r:id="rId1"/>
</worksheet>
</file>